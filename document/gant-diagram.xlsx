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ia\AppData\Local\Microsoft\Olk\Attachments\ooa-4021adf2-455c-452e-8e32-7ed4d2e35af0\a697106f293b1225b804e838b929c76f1d0df19b5a7200210ba749fe1cd4146c\"/>
    </mc:Choice>
  </mc:AlternateContent>
  <xr:revisionPtr revIDLastSave="0" documentId="8_{2A210A79-9115-4CA0-835C-91A2D115DD58}" xr6:coauthVersionLast="47" xr6:coauthVersionMax="47" xr10:uidLastSave="{00000000-0000-0000-0000-000000000000}"/>
  <bookViews>
    <workbookView xWindow="-110" yWindow="-110" windowWidth="19420" windowHeight="11500" firstSheet="3" activeTab="3" xr2:uid="{5B4CEDF0-80A2-4B28-8FCD-8506E67535DA}"/>
  </bookViews>
  <sheets>
    <sheet name="Consignes" sheetId="7" r:id="rId1"/>
    <sheet name="Note" sheetId="8" r:id="rId2"/>
    <sheet name="Exemple Conf DeVinci Durable" sheetId="4" r:id="rId3"/>
    <sheet name="Exercice rétroplanning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6" l="1"/>
  <c r="AK2" i="6"/>
  <c r="AJ3" i="6"/>
  <c r="AK3" i="6" s="1"/>
  <c r="B2" i="6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I2" i="6" s="1"/>
  <c r="E7" i="8"/>
  <c r="F7" i="8"/>
  <c r="G7" i="8"/>
  <c r="H7" i="8"/>
  <c r="D7" i="8"/>
  <c r="Z2" i="6" l="1"/>
  <c r="L2" i="6"/>
  <c r="K2" i="6"/>
  <c r="N2" i="6"/>
  <c r="Y2" i="6"/>
  <c r="X2" i="6"/>
  <c r="W2" i="6"/>
  <c r="AH2" i="6"/>
  <c r="V2" i="6"/>
  <c r="J2" i="6"/>
  <c r="M2" i="6"/>
  <c r="AG2" i="6"/>
  <c r="U2" i="6"/>
  <c r="I2" i="6"/>
  <c r="AF2" i="6"/>
  <c r="T2" i="6"/>
  <c r="H2" i="6"/>
  <c r="AE2" i="6"/>
  <c r="S2" i="6"/>
  <c r="G2" i="6"/>
  <c r="AD2" i="6"/>
  <c r="R2" i="6"/>
  <c r="F2" i="6"/>
  <c r="AC2" i="6"/>
  <c r="Q2" i="6"/>
  <c r="E2" i="6"/>
  <c r="AB2" i="6"/>
  <c r="P2" i="6"/>
  <c r="D2" i="6"/>
  <c r="AA2" i="6"/>
  <c r="O2" i="6"/>
  <c r="C2" i="6"/>
</calcChain>
</file>

<file path=xl/sharedStrings.xml><?xml version="1.0" encoding="utf-8"?>
<sst xmlns="http://schemas.openxmlformats.org/spreadsheetml/2006/main" count="67" uniqueCount="67">
  <si>
    <t>ENONCE DE L'EXERCICE</t>
  </si>
  <si>
    <t>Vous êtes l’équipe Soft Skills du Pôle (6 personnes), nous sommes le 01/06/2020 et vous souhaitez organiser la présente semaine Soft Skills (pour l’instant, rien n’est prévu, les dates ne sont pas fixées, les diapos et supports sur DVO n’existent pas)​. Vous devez créer le rétroplanning en mode Gantt de ce projet</t>
  </si>
  <si>
    <t>CONSIGNES (durée 20 minutes)</t>
  </si>
  <si>
    <t>• Un membre de chaque équipe duplique ce fichier dans son canal d’équipe (attention de ne pas modifier le fichier dans le Général pour tout le monde !) et change le X dans le nom du fichier par son numéro d'équipe
• Tous les membres de l'équipe se connectent sur ce fichier (nous vous conseillons de cliquer sur "Ouvir avec l'application de bureau" plutôt qu'utiliser l'Excel intégré à Teams qui est un peu moisi)
• Allez dans l'onglet "Exercice rétroplanning" et créez le rétroplanning. Il "suffit" de lister les tâches, de dessiner des rectangles bleus pour les plannifier aux bonnes dates (copiez-collez les rectangles existants, il suffit d'en faire glissez un en maintenant Ctrl appuyé pour en faire une copie) et de mettre les flèches oranges entre les rectangles liés (copiez-collez les flèches existantes et réattachez les extrémités aux bons rectangles)</t>
  </si>
  <si>
    <t>Pour vous inspirer, l'onglet "Exemple des diapositives" est l'onglet à partir duquel le rétroplanning que vous venez de voir dans les diapositives a été créé.</t>
  </si>
  <si>
    <t>CRITERES D'EVALUATION</t>
  </si>
  <si>
    <t>• Les tâches indispensables sont bien listées : 8 points​
• Les tâches sont bien SMART : 4 points​
• Les tâches sont planifiées de manière cohérente : 4 points​
• Les tâches sont bien liées entre elles : 4 points</t>
  </si>
  <si>
    <t>Nb de Pts</t>
  </si>
  <si>
    <t>Equipe 1</t>
  </si>
  <si>
    <t>Equipe 2</t>
  </si>
  <si>
    <t>Equipe 3</t>
  </si>
  <si>
    <t>Equipe 4</t>
  </si>
  <si>
    <t>Equipe 5</t>
  </si>
  <si>
    <t>Les tâches indispensables sont bien listées</t>
  </si>
  <si>
    <t>Les tâches sont bien SMART</t>
  </si>
  <si>
    <t>Les tâches sont planifiées de manière cohérente</t>
  </si>
  <si>
    <t>Les tâches sont bien liées entre elles</t>
  </si>
  <si>
    <t>NOTE TOTALE</t>
  </si>
  <si>
    <t>Décembre</t>
  </si>
  <si>
    <t>Janvier</t>
  </si>
  <si>
    <t>Février</t>
  </si>
  <si>
    <t>Mars</t>
  </si>
  <si>
    <t>S50</t>
  </si>
  <si>
    <t>S51</t>
  </si>
  <si>
    <t>S52</t>
  </si>
  <si>
    <t>S53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</si>
  <si>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</si>
  <si>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</si>
  <si>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</si>
  <si>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</si>
  <si>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</si>
  <si>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</si>
  <si>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</si>
  <si>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</si>
  <si>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</si>
  <si>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</si>
  <si>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Tâches / Jours</t>
  </si>
  <si>
    <t>Contacter la direction pour autorisation</t>
  </si>
  <si>
    <t>Relancer si nécessaire</t>
  </si>
  <si>
    <t>Contacter la plannification pour avoir des créneaux</t>
  </si>
  <si>
    <r>
      <t>Contacter et trouver des intervenant</t>
    </r>
    <r>
      <rPr>
        <sz val="11"/>
        <rFont val="Calibri"/>
        <family val="2"/>
      </rPr>
      <t>·e·s</t>
    </r>
  </si>
  <si>
    <t>Figer la date et plannifier la visioconférence</t>
  </si>
  <si>
    <t>Envoyer un mail aux étudiant·e·s</t>
  </si>
  <si>
    <t>Envoyer rappel J-7</t>
  </si>
  <si>
    <t>Envoyer rappel J-3</t>
  </si>
  <si>
    <t>Envoyer rappel J-1</t>
  </si>
  <si>
    <t>Conférence</t>
  </si>
  <si>
    <t>Envoyer bilan et mercis</t>
  </si>
  <si>
    <t>Fêter</t>
  </si>
  <si>
    <t>Octobre 2025</t>
  </si>
  <si>
    <t>Novembre 2025</t>
  </si>
  <si>
    <t>Décembre 2025</t>
  </si>
  <si>
    <t>Janvier 2026</t>
  </si>
  <si>
    <t>Février 2026</t>
  </si>
  <si>
    <t>Mars 2026</t>
  </si>
  <si>
    <t>Avril 2026</t>
  </si>
  <si>
    <t>Mai 2026</t>
  </si>
  <si>
    <t>Juin 2026</t>
  </si>
  <si>
    <t xml:space="preserve">Tâches </t>
  </si>
  <si>
    <t xml:space="preserve">Analyse dees besoins </t>
  </si>
  <si>
    <t xml:space="preserve">Analyse fonctionnelle et structurelle </t>
  </si>
  <si>
    <t xml:space="preserve">Choix des solutions techniques </t>
  </si>
  <si>
    <t xml:space="preserve">Prototype du capteurs et de l'app </t>
  </si>
  <si>
    <t xml:space="preserve">Intégration du système </t>
  </si>
  <si>
    <t>Test et validation</t>
  </si>
  <si>
    <t xml:space="preserve">Rédaction de rapport </t>
  </si>
  <si>
    <t xml:space="preserve">Présentation finale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</si>
</sst>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7" fontId="2" fillId="0" borderId="0" xfId="0" quotePrefix="1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39414</xdr:colOff>
      <xdr:row>3</xdr:row>
      <xdr:rowOff>123824</xdr:rowOff>
    </xdr:from>
    <xdr:to>
      <xdr:col>5</xdr:col>
      <xdr:colOff>0</xdr:colOff>
      <xdr:row>3</xdr:row>
      <xdr:rowOff>295275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A36CF7-EB89-404F-B15E-56FD791310DD}"/>
            </a:ext>
          </a:extLst>
        </xdr:cNvPr>
        <xdr:cNvSpPr/>
      </xdr:nvSpPr>
      <xdr:spPr>
        <a:xfrm>
          <a:off x="1675086" y="695324"/>
          <a:ext cx="748862" cy="1714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758</xdr:colOff>
      <xdr:row>4</xdr:row>
      <xdr:rowOff>104774</xdr:rowOff>
    </xdr:from>
    <xdr:to>
      <xdr:col>49</xdr:col>
      <xdr:colOff>0</xdr:colOff>
      <xdr:row>4</xdr:row>
      <xdr:rowOff>285749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9C7A17-CB86-4E01-A730-104D0949508B}"/>
            </a:ext>
          </a:extLst>
        </xdr:cNvPr>
        <xdr:cNvSpPr/>
      </xdr:nvSpPr>
      <xdr:spPr>
        <a:xfrm>
          <a:off x="3804189" y="1057274"/>
          <a:ext cx="729079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3</xdr:row>
      <xdr:rowOff>209550</xdr:rowOff>
    </xdr:from>
    <xdr:to>
      <xdr:col>12</xdr:col>
      <xdr:colOff>758</xdr:colOff>
      <xdr:row>4</xdr:row>
      <xdr:rowOff>195262</xdr:rowOff>
    </xdr:to>
    <xdr:cxnSp macro="">
      <xdr:nvCxnSpPr>
        <xdr:cNvPr id="4" name="Connecteur : en angle 3">
          <a:extLst>
            <a:ext uri="{FF2B5EF4-FFF2-40B4-BE49-F238E27FC236}">
              <a16:creationId xmlns:a16="http://schemas.microsoft.com/office/drawing/2014/main" id="{705B6829-7C37-4610-92DD-77106FFFCF1B}"/>
            </a:ext>
          </a:extLst>
        </xdr:cNvPr>
        <xdr:cNvCxnSpPr>
          <a:stCxn id="2" idx="3"/>
          <a:endCxn id="3" idx="1"/>
        </xdr:cNvCxnSpPr>
      </xdr:nvCxnSpPr>
      <xdr:spPr>
        <a:xfrm>
          <a:off x="2423948" y="781050"/>
          <a:ext cx="1380241" cy="366712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6569</xdr:colOff>
      <xdr:row>5</xdr:row>
      <xdr:rowOff>111343</xdr:rowOff>
    </xdr:from>
    <xdr:to>
      <xdr:col>17</xdr:col>
      <xdr:colOff>0</xdr:colOff>
      <xdr:row>5</xdr:row>
      <xdr:rowOff>292318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9B8A533-1FD2-4A83-9EDD-FB4662ABE5EE}"/>
            </a:ext>
          </a:extLst>
        </xdr:cNvPr>
        <xdr:cNvSpPr/>
      </xdr:nvSpPr>
      <xdr:spPr>
        <a:xfrm>
          <a:off x="2430517" y="1444843"/>
          <a:ext cx="2358259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3</xdr:row>
      <xdr:rowOff>209550</xdr:rowOff>
    </xdr:from>
    <xdr:to>
      <xdr:col>5</xdr:col>
      <xdr:colOff>6569</xdr:colOff>
      <xdr:row>5</xdr:row>
      <xdr:rowOff>201831</xdr:rowOff>
    </xdr:to>
    <xdr:cxnSp macro="">
      <xdr:nvCxnSpPr>
        <xdr:cNvPr id="14" name="Connecteur : en angle 13">
          <a:extLst>
            <a:ext uri="{FF2B5EF4-FFF2-40B4-BE49-F238E27FC236}">
              <a16:creationId xmlns:a16="http://schemas.microsoft.com/office/drawing/2014/main" id="{AA4D2BD1-E21F-4E87-BCB2-A68F200345E3}"/>
            </a:ext>
          </a:extLst>
        </xdr:cNvPr>
        <xdr:cNvCxnSpPr>
          <a:stCxn id="2" idx="3"/>
          <a:endCxn id="13" idx="1"/>
        </xdr:cNvCxnSpPr>
      </xdr:nvCxnSpPr>
      <xdr:spPr>
        <a:xfrm>
          <a:off x="2423948" y="781050"/>
          <a:ext cx="6569" cy="754281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111343</xdr:rowOff>
    </xdr:from>
    <xdr:to>
      <xdr:col>49</xdr:col>
      <xdr:colOff>0</xdr:colOff>
      <xdr:row>6</xdr:row>
      <xdr:rowOff>292318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6A8EFB4-796F-441F-93A4-3DE7EA510241}"/>
            </a:ext>
          </a:extLst>
        </xdr:cNvPr>
        <xdr:cNvSpPr/>
      </xdr:nvSpPr>
      <xdr:spPr>
        <a:xfrm>
          <a:off x="3803431" y="1825843"/>
          <a:ext cx="7291552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0</xdr:colOff>
      <xdr:row>5</xdr:row>
      <xdr:rowOff>201831</xdr:rowOff>
    </xdr:from>
    <xdr:to>
      <xdr:col>17</xdr:col>
      <xdr:colOff>0</xdr:colOff>
      <xdr:row>6</xdr:row>
      <xdr:rowOff>201831</xdr:rowOff>
    </xdr:to>
    <xdr:cxnSp macro="">
      <xdr:nvCxnSpPr>
        <xdr:cNvPr id="19" name="Connecteur : en angle 18">
          <a:extLst>
            <a:ext uri="{FF2B5EF4-FFF2-40B4-BE49-F238E27FC236}">
              <a16:creationId xmlns:a16="http://schemas.microsoft.com/office/drawing/2014/main" id="{A11C0481-A2C9-496B-A787-FBF78B30016E}"/>
            </a:ext>
          </a:extLst>
        </xdr:cNvPr>
        <xdr:cNvCxnSpPr>
          <a:stCxn id="13" idx="3"/>
          <a:endCxn id="18" idx="1"/>
        </xdr:cNvCxnSpPr>
      </xdr:nvCxnSpPr>
      <xdr:spPr>
        <a:xfrm flipH="1">
          <a:off x="3803431" y="1535331"/>
          <a:ext cx="985345" cy="381000"/>
        </a:xfrm>
        <a:prstGeom prst="bentConnector5">
          <a:avLst>
            <a:gd name="adj1" fmla="val -23200"/>
            <a:gd name="adj2" fmla="val 50000"/>
            <a:gd name="adj3" fmla="val 1232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5813</xdr:colOff>
      <xdr:row>7</xdr:row>
      <xdr:rowOff>110585</xdr:rowOff>
    </xdr:from>
    <xdr:to>
      <xdr:col>52</xdr:col>
      <xdr:colOff>0</xdr:colOff>
      <xdr:row>7</xdr:row>
      <xdr:rowOff>291560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870BCC-2E29-4B8D-ADE5-115D769BF3AB}"/>
            </a:ext>
          </a:extLst>
        </xdr:cNvPr>
        <xdr:cNvSpPr/>
      </xdr:nvSpPr>
      <xdr:spPr>
        <a:xfrm>
          <a:off x="13091698" y="2206085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49</xdr:col>
      <xdr:colOff>0</xdr:colOff>
      <xdr:row>4</xdr:row>
      <xdr:rowOff>195262</xdr:rowOff>
    </xdr:from>
    <xdr:to>
      <xdr:col>51</xdr:col>
      <xdr:colOff>5813</xdr:colOff>
      <xdr:row>7</xdr:row>
      <xdr:rowOff>201073</xdr:rowOff>
    </xdr:to>
    <xdr:cxnSp macro="">
      <xdr:nvCxnSpPr>
        <xdr:cNvPr id="28" name="Connecteur : en angle 27">
          <a:extLst>
            <a:ext uri="{FF2B5EF4-FFF2-40B4-BE49-F238E27FC236}">
              <a16:creationId xmlns:a16="http://schemas.microsoft.com/office/drawing/2014/main" id="{692E2427-A0F6-4F02-9D0B-3A527A8E8555}"/>
            </a:ext>
          </a:extLst>
        </xdr:cNvPr>
        <xdr:cNvCxnSpPr>
          <a:stCxn id="3" idx="3"/>
          <a:endCxn id="26" idx="1"/>
        </xdr:cNvCxnSpPr>
      </xdr:nvCxnSpPr>
      <xdr:spPr>
        <a:xfrm>
          <a:off x="11094983" y="1147762"/>
          <a:ext cx="399951" cy="1148811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6</xdr:row>
      <xdr:rowOff>201831</xdr:rowOff>
    </xdr:from>
    <xdr:to>
      <xdr:col>51</xdr:col>
      <xdr:colOff>5813</xdr:colOff>
      <xdr:row>7</xdr:row>
      <xdr:rowOff>201073</xdr:rowOff>
    </xdr:to>
    <xdr:cxnSp macro="">
      <xdr:nvCxnSpPr>
        <xdr:cNvPr id="42" name="Connecteur : en angle 41">
          <a:extLst>
            <a:ext uri="{FF2B5EF4-FFF2-40B4-BE49-F238E27FC236}">
              <a16:creationId xmlns:a16="http://schemas.microsoft.com/office/drawing/2014/main" id="{FC0012FD-E881-4FF1-8522-513B8EDEE80B}"/>
            </a:ext>
          </a:extLst>
        </xdr:cNvPr>
        <xdr:cNvCxnSpPr>
          <a:stCxn id="18" idx="3"/>
          <a:endCxn id="26" idx="1"/>
        </xdr:cNvCxnSpPr>
      </xdr:nvCxnSpPr>
      <xdr:spPr>
        <a:xfrm>
          <a:off x="11094983" y="1916331"/>
          <a:ext cx="399951" cy="380242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5813</xdr:colOff>
      <xdr:row>8</xdr:row>
      <xdr:rowOff>103258</xdr:rowOff>
    </xdr:from>
    <xdr:to>
      <xdr:col>53</xdr:col>
      <xdr:colOff>0</xdr:colOff>
      <xdr:row>8</xdr:row>
      <xdr:rowOff>284233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A02DEEB-8043-4405-83D9-72615D8DECC3}"/>
            </a:ext>
          </a:extLst>
        </xdr:cNvPr>
        <xdr:cNvSpPr/>
      </xdr:nvSpPr>
      <xdr:spPr>
        <a:xfrm>
          <a:off x="11736217" y="2579758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0</xdr:colOff>
      <xdr:row>7</xdr:row>
      <xdr:rowOff>201073</xdr:rowOff>
    </xdr:from>
    <xdr:to>
      <xdr:col>52</xdr:col>
      <xdr:colOff>5813</xdr:colOff>
      <xdr:row>8</xdr:row>
      <xdr:rowOff>193746</xdr:rowOff>
    </xdr:to>
    <xdr:cxnSp macro="">
      <xdr:nvCxnSpPr>
        <xdr:cNvPr id="48" name="Connecteur : en angle 47">
          <a:extLst>
            <a:ext uri="{FF2B5EF4-FFF2-40B4-BE49-F238E27FC236}">
              <a16:creationId xmlns:a16="http://schemas.microsoft.com/office/drawing/2014/main" id="{69CFB2AE-CEBC-40B2-956C-6426E837821E}"/>
            </a:ext>
          </a:extLst>
        </xdr:cNvPr>
        <xdr:cNvCxnSpPr>
          <a:stCxn id="26" idx="3"/>
          <a:endCxn id="47" idx="1"/>
        </xdr:cNvCxnSpPr>
      </xdr:nvCxnSpPr>
      <xdr:spPr>
        <a:xfrm>
          <a:off x="11730404" y="2296573"/>
          <a:ext cx="5813" cy="37367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8</xdr:row>
      <xdr:rowOff>193746</xdr:rowOff>
    </xdr:from>
    <xdr:to>
      <xdr:col>64</xdr:col>
      <xdr:colOff>5812</xdr:colOff>
      <xdr:row>9</xdr:row>
      <xdr:rowOff>201073</xdr:rowOff>
    </xdr:to>
    <xdr:cxnSp macro="">
      <xdr:nvCxnSpPr>
        <xdr:cNvPr id="51" name="Connecteur : en angle 50">
          <a:extLst>
            <a:ext uri="{FF2B5EF4-FFF2-40B4-BE49-F238E27FC236}">
              <a16:creationId xmlns:a16="http://schemas.microsoft.com/office/drawing/2014/main" id="{0CDB976D-4E78-4C57-BC7F-2848FF6A464C}"/>
            </a:ext>
          </a:extLst>
        </xdr:cNvPr>
        <xdr:cNvCxnSpPr>
          <a:stCxn id="47" idx="3"/>
          <a:endCxn id="59" idx="1"/>
        </xdr:cNvCxnSpPr>
      </xdr:nvCxnSpPr>
      <xdr:spPr>
        <a:xfrm>
          <a:off x="11928231" y="2670246"/>
          <a:ext cx="2181908" cy="388327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13140</xdr:colOff>
      <xdr:row>12</xdr:row>
      <xdr:rowOff>103258</xdr:rowOff>
    </xdr:from>
    <xdr:to>
      <xdr:col>73</xdr:col>
      <xdr:colOff>7327</xdr:colOff>
      <xdr:row>12</xdr:row>
      <xdr:rowOff>284233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64293F5-221B-48B9-BFE8-F8C3411126F9}"/>
            </a:ext>
          </a:extLst>
        </xdr:cNvPr>
        <xdr:cNvSpPr/>
      </xdr:nvSpPr>
      <xdr:spPr>
        <a:xfrm>
          <a:off x="15700082" y="4103758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73</xdr:col>
      <xdr:colOff>13140</xdr:colOff>
      <xdr:row>13</xdr:row>
      <xdr:rowOff>125239</xdr:rowOff>
    </xdr:from>
    <xdr:to>
      <xdr:col>74</xdr:col>
      <xdr:colOff>7327</xdr:colOff>
      <xdr:row>13</xdr:row>
      <xdr:rowOff>306214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AD9FA26-016A-4EF0-BA63-8167F6997995}"/>
            </a:ext>
          </a:extLst>
        </xdr:cNvPr>
        <xdr:cNvSpPr/>
      </xdr:nvSpPr>
      <xdr:spPr>
        <a:xfrm>
          <a:off x="15897909" y="4506739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71</xdr:col>
      <xdr:colOff>13140</xdr:colOff>
      <xdr:row>11</xdr:row>
      <xdr:rowOff>132566</xdr:rowOff>
    </xdr:from>
    <xdr:to>
      <xdr:col>72</xdr:col>
      <xdr:colOff>7327</xdr:colOff>
      <xdr:row>11</xdr:row>
      <xdr:rowOff>313541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26768B-9315-462C-96EC-C1C2D695A421}"/>
            </a:ext>
          </a:extLst>
        </xdr:cNvPr>
        <xdr:cNvSpPr/>
      </xdr:nvSpPr>
      <xdr:spPr>
        <a:xfrm>
          <a:off x="15502255" y="3752066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69</xdr:col>
      <xdr:colOff>5812</xdr:colOff>
      <xdr:row>10</xdr:row>
      <xdr:rowOff>139893</xdr:rowOff>
    </xdr:from>
    <xdr:to>
      <xdr:col>69</xdr:col>
      <xdr:colOff>197826</xdr:colOff>
      <xdr:row>10</xdr:row>
      <xdr:rowOff>320868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B68B8B9-7F72-4707-AE2A-26B9F3F2AC7C}"/>
            </a:ext>
          </a:extLst>
        </xdr:cNvPr>
        <xdr:cNvSpPr/>
      </xdr:nvSpPr>
      <xdr:spPr>
        <a:xfrm>
          <a:off x="15099274" y="3378393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64</xdr:col>
      <xdr:colOff>5812</xdr:colOff>
      <xdr:row>9</xdr:row>
      <xdr:rowOff>110585</xdr:rowOff>
    </xdr:from>
    <xdr:to>
      <xdr:col>64</xdr:col>
      <xdr:colOff>197826</xdr:colOff>
      <xdr:row>9</xdr:row>
      <xdr:rowOff>291560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EC15E71-73F1-4279-ADD9-0CFF199C4622}"/>
            </a:ext>
          </a:extLst>
        </xdr:cNvPr>
        <xdr:cNvSpPr/>
      </xdr:nvSpPr>
      <xdr:spPr>
        <a:xfrm>
          <a:off x="14110139" y="2968085"/>
          <a:ext cx="192014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64</xdr:col>
      <xdr:colOff>197826</xdr:colOff>
      <xdr:row>9</xdr:row>
      <xdr:rowOff>201073</xdr:rowOff>
    </xdr:from>
    <xdr:to>
      <xdr:col>69</xdr:col>
      <xdr:colOff>5812</xdr:colOff>
      <xdr:row>10</xdr:row>
      <xdr:rowOff>230381</xdr:rowOff>
    </xdr:to>
    <xdr:cxnSp macro="">
      <xdr:nvCxnSpPr>
        <xdr:cNvPr id="61" name="Connecteur : en angle 60">
          <a:extLst>
            <a:ext uri="{FF2B5EF4-FFF2-40B4-BE49-F238E27FC236}">
              <a16:creationId xmlns:a16="http://schemas.microsoft.com/office/drawing/2014/main" id="{038FA676-237E-415C-B5AC-4F8ECFAC884D}"/>
            </a:ext>
          </a:extLst>
        </xdr:cNvPr>
        <xdr:cNvCxnSpPr>
          <a:stCxn id="59" idx="3"/>
          <a:endCxn id="58" idx="1"/>
        </xdr:cNvCxnSpPr>
      </xdr:nvCxnSpPr>
      <xdr:spPr>
        <a:xfrm>
          <a:off x="14302153" y="3058573"/>
          <a:ext cx="797121" cy="410308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197826</xdr:colOff>
      <xdr:row>10</xdr:row>
      <xdr:rowOff>230381</xdr:rowOff>
    </xdr:from>
    <xdr:to>
      <xdr:col>71</xdr:col>
      <xdr:colOff>13140</xdr:colOff>
      <xdr:row>11</xdr:row>
      <xdr:rowOff>223054</xdr:rowOff>
    </xdr:to>
    <xdr:cxnSp macro="">
      <xdr:nvCxnSpPr>
        <xdr:cNvPr id="64" name="Connecteur : en angle 63">
          <a:extLst>
            <a:ext uri="{FF2B5EF4-FFF2-40B4-BE49-F238E27FC236}">
              <a16:creationId xmlns:a16="http://schemas.microsoft.com/office/drawing/2014/main" id="{33846530-662A-49D8-8BFA-2FE1F6139753}"/>
            </a:ext>
          </a:extLst>
        </xdr:cNvPr>
        <xdr:cNvCxnSpPr>
          <a:stCxn id="58" idx="3"/>
          <a:endCxn id="57" idx="1"/>
        </xdr:cNvCxnSpPr>
      </xdr:nvCxnSpPr>
      <xdr:spPr>
        <a:xfrm>
          <a:off x="15291288" y="3468881"/>
          <a:ext cx="210967" cy="37367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7327</xdr:colOff>
      <xdr:row>11</xdr:row>
      <xdr:rowOff>223054</xdr:rowOff>
    </xdr:from>
    <xdr:to>
      <xdr:col>72</xdr:col>
      <xdr:colOff>13140</xdr:colOff>
      <xdr:row>12</xdr:row>
      <xdr:rowOff>193746</xdr:rowOff>
    </xdr:to>
    <xdr:cxnSp macro="">
      <xdr:nvCxnSpPr>
        <xdr:cNvPr id="67" name="Connecteur : en angle 66">
          <a:extLst>
            <a:ext uri="{FF2B5EF4-FFF2-40B4-BE49-F238E27FC236}">
              <a16:creationId xmlns:a16="http://schemas.microsoft.com/office/drawing/2014/main" id="{7D308994-8648-4FD7-B144-EA61E91C5990}"/>
            </a:ext>
          </a:extLst>
        </xdr:cNvPr>
        <xdr:cNvCxnSpPr>
          <a:stCxn id="57" idx="3"/>
          <a:endCxn id="55" idx="1"/>
        </xdr:cNvCxnSpPr>
      </xdr:nvCxnSpPr>
      <xdr:spPr>
        <a:xfrm>
          <a:off x="15694269" y="3842554"/>
          <a:ext cx="5813" cy="351692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7327</xdr:colOff>
      <xdr:row>12</xdr:row>
      <xdr:rowOff>193746</xdr:rowOff>
    </xdr:from>
    <xdr:to>
      <xdr:col>73</xdr:col>
      <xdr:colOff>13140</xdr:colOff>
      <xdr:row>13</xdr:row>
      <xdr:rowOff>215727</xdr:rowOff>
    </xdr:to>
    <xdr:cxnSp macro="">
      <xdr:nvCxnSpPr>
        <xdr:cNvPr id="70" name="Connecteur : en angle 69">
          <a:extLst>
            <a:ext uri="{FF2B5EF4-FFF2-40B4-BE49-F238E27FC236}">
              <a16:creationId xmlns:a16="http://schemas.microsoft.com/office/drawing/2014/main" id="{03F9CB1F-D362-459E-B92A-C08E918AC1C7}"/>
            </a:ext>
          </a:extLst>
        </xdr:cNvPr>
        <xdr:cNvCxnSpPr>
          <a:stCxn id="55" idx="3"/>
          <a:endCxn id="56" idx="1"/>
        </xdr:cNvCxnSpPr>
      </xdr:nvCxnSpPr>
      <xdr:spPr>
        <a:xfrm>
          <a:off x="15892096" y="4194246"/>
          <a:ext cx="5813" cy="402981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13139</xdr:colOff>
      <xdr:row>14</xdr:row>
      <xdr:rowOff>125239</xdr:rowOff>
    </xdr:from>
    <xdr:to>
      <xdr:col>78</xdr:col>
      <xdr:colOff>197826</xdr:colOff>
      <xdr:row>14</xdr:row>
      <xdr:rowOff>306214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176B22A-714D-41C0-8E17-F81653CED38D}"/>
            </a:ext>
          </a:extLst>
        </xdr:cNvPr>
        <xdr:cNvSpPr/>
      </xdr:nvSpPr>
      <xdr:spPr>
        <a:xfrm>
          <a:off x="16095735" y="4887739"/>
          <a:ext cx="97599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74</xdr:col>
      <xdr:colOff>7327</xdr:colOff>
      <xdr:row>13</xdr:row>
      <xdr:rowOff>215727</xdr:rowOff>
    </xdr:from>
    <xdr:to>
      <xdr:col>74</xdr:col>
      <xdr:colOff>13139</xdr:colOff>
      <xdr:row>14</xdr:row>
      <xdr:rowOff>215727</xdr:rowOff>
    </xdr:to>
    <xdr:cxnSp macro="">
      <xdr:nvCxnSpPr>
        <xdr:cNvPr id="75" name="Connecteur : en angle 74">
          <a:extLst>
            <a:ext uri="{FF2B5EF4-FFF2-40B4-BE49-F238E27FC236}">
              <a16:creationId xmlns:a16="http://schemas.microsoft.com/office/drawing/2014/main" id="{0716563E-88F4-4933-A46F-FADD0E070C5B}"/>
            </a:ext>
          </a:extLst>
        </xdr:cNvPr>
        <xdr:cNvCxnSpPr>
          <a:stCxn id="56" idx="3"/>
          <a:endCxn id="74" idx="1"/>
        </xdr:cNvCxnSpPr>
      </xdr:nvCxnSpPr>
      <xdr:spPr>
        <a:xfrm>
          <a:off x="16089923" y="4597227"/>
          <a:ext cx="5812" cy="381000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3907</xdr:colOff>
      <xdr:row>3</xdr:row>
      <xdr:rowOff>80682</xdr:rowOff>
    </xdr:from>
    <xdr:to>
      <xdr:col>2</xdr:col>
      <xdr:colOff>8965</xdr:colOff>
      <xdr:row>3</xdr:row>
      <xdr:rowOff>295835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79EDCD-2883-4985-9024-BD114F5A32F8}"/>
            </a:ext>
          </a:extLst>
        </xdr:cNvPr>
        <xdr:cNvSpPr/>
      </xdr:nvSpPr>
      <xdr:spPr>
        <a:xfrm>
          <a:off x="3661507" y="842682"/>
          <a:ext cx="533976" cy="2151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52285</xdr:colOff>
      <xdr:row>4</xdr:row>
      <xdr:rowOff>62753</xdr:rowOff>
    </xdr:from>
    <xdr:to>
      <xdr:col>4</xdr:col>
      <xdr:colOff>8966</xdr:colOff>
      <xdr:row>4</xdr:row>
      <xdr:rowOff>272302</xdr:rowOff>
    </xdr:to>
    <xdr:sp macro="" textlink="">
      <xdr:nvSpPr>
        <xdr:cNvPr id="29" name="Rectangle 2">
          <a:extLst>
            <a:ext uri="{FF2B5EF4-FFF2-40B4-BE49-F238E27FC236}">
              <a16:creationId xmlns:a16="http://schemas.microsoft.com/office/drawing/2014/main" id="{AD1A5630-E256-482F-927C-A6597160096A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4238803" y="1210235"/>
          <a:ext cx="1014516" cy="2095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8965</xdr:colOff>
      <xdr:row>3</xdr:row>
      <xdr:rowOff>188259</xdr:rowOff>
    </xdr:from>
    <xdr:to>
      <xdr:col>2</xdr:col>
      <xdr:colOff>44823</xdr:colOff>
      <xdr:row>4</xdr:row>
      <xdr:rowOff>233083</xdr:rowOff>
    </xdr:to>
    <xdr:cxnSp macro="">
      <xdr:nvCxnSpPr>
        <xdr:cNvPr id="4" name="Connecteur : en angle 3">
          <a:extLst>
            <a:ext uri="{FF2B5EF4-FFF2-40B4-BE49-F238E27FC236}">
              <a16:creationId xmlns:a16="http://schemas.microsoft.com/office/drawing/2014/main" id="{D67558B5-9EFC-4B45-A084-87BA7B755273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stCxn id="2" idx="3"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>
          <a:off x="4195483" y="950259"/>
          <a:ext cx="35858" cy="430306"/>
        </a:xfrm>
        <a:prstGeom prst="bentConnector2">
          <a:avLst/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61247</xdr:colOff>
      <xdr:row>5</xdr:row>
      <xdr:rowOff>53789</xdr:rowOff>
    </xdr:from>
    <xdr:to>
      <xdr:col>9</xdr:col>
      <xdr:colOff>125505</xdr:colOff>
      <xdr:row>5</xdr:row>
      <xdr:rowOff>272301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FB7E1241-0DC8-407B-AE90-5217E2224E1C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5305600" y="1586754"/>
          <a:ext cx="2708846" cy="2185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519952</xdr:colOff>
      <xdr:row>4</xdr:row>
      <xdr:rowOff>161365</xdr:rowOff>
    </xdr:from>
    <xdr:to>
      <xdr:col>4</xdr:col>
      <xdr:colOff>53787</xdr:colOff>
      <xdr:row>5</xdr:row>
      <xdr:rowOff>179294</xdr:rowOff>
    </xdr:to>
    <xdr:cxnSp macro="">
      <xdr:nvCxnSpPr>
        <xdr:cNvPr id="7" name="Connecteur : en angle 6">
          <a:extLst>
            <a:ext uri="{FF2B5EF4-FFF2-40B4-BE49-F238E27FC236}">
              <a16:creationId xmlns:a16="http://schemas.microsoft.com/office/drawing/2014/main" id="{E0F56935-4D8A-410D-B07B-5A3D2F781DF3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 rot="16200000" flipH="1">
          <a:off x="5065058" y="1479176"/>
          <a:ext cx="403412" cy="6275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519953</xdr:colOff>
      <xdr:row>5</xdr:row>
      <xdr:rowOff>161363</xdr:rowOff>
    </xdr:from>
    <xdr:to>
      <xdr:col>9</xdr:col>
      <xdr:colOff>107578</xdr:colOff>
      <xdr:row>6</xdr:row>
      <xdr:rowOff>161364</xdr:rowOff>
    </xdr:to>
    <xdr:cxnSp macro="">
      <xdr:nvCxnSpPr>
        <xdr:cNvPr id="10" name="Connecteur : en angle 9">
          <a:extLst>
            <a:ext uri="{FF2B5EF4-FFF2-40B4-BE49-F238E27FC236}">
              <a16:creationId xmlns:a16="http://schemas.microsoft.com/office/drawing/2014/main" id="{72B5B1C9-3BBE-4933-87E7-0D37CC965D56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 rot="16200000" flipH="1">
          <a:off x="7745506" y="1828799"/>
          <a:ext cx="385483" cy="116542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</xdr:colOff>
      <xdr:row>6</xdr:row>
      <xdr:rowOff>116541</xdr:rowOff>
    </xdr:from>
    <xdr:to>
      <xdr:col>12</xdr:col>
      <xdr:colOff>44824</xdr:colOff>
      <xdr:row>6</xdr:row>
      <xdr:rowOff>361948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6A649389-10AC-432E-A872-FE3870787E89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7915835" y="2034988"/>
          <a:ext cx="1604683" cy="2454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53790</xdr:colOff>
      <xdr:row>6</xdr:row>
      <xdr:rowOff>206189</xdr:rowOff>
    </xdr:from>
    <xdr:to>
      <xdr:col>12</xdr:col>
      <xdr:colOff>116543</xdr:colOff>
      <xdr:row>7</xdr:row>
      <xdr:rowOff>224119</xdr:rowOff>
    </xdr:to>
    <xdr:cxnSp macro="">
      <xdr:nvCxnSpPr>
        <xdr:cNvPr id="16" name="Connecteur : en angle 15">
          <a:extLst>
            <a:ext uri="{FF2B5EF4-FFF2-40B4-BE49-F238E27FC236}">
              <a16:creationId xmlns:a16="http://schemas.microsoft.com/office/drawing/2014/main" id="{20CAEF95-174B-44FD-A951-552B971B502D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 rot="16200000" flipH="1">
          <a:off x="9359155" y="2294965"/>
          <a:ext cx="403412" cy="6275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53788</xdr:colOff>
      <xdr:row>10</xdr:row>
      <xdr:rowOff>125507</xdr:rowOff>
    </xdr:from>
    <xdr:to>
      <xdr:col>29</xdr:col>
      <xdr:colOff>412377</xdr:colOff>
      <xdr:row>10</xdr:row>
      <xdr:rowOff>352985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99F7CE22-4F7F-42DE-BCA1-6DC1355CC6E9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16934329" y="3585883"/>
          <a:ext cx="1945342" cy="2274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8964</xdr:colOff>
      <xdr:row>11</xdr:row>
      <xdr:rowOff>116541</xdr:rowOff>
    </xdr:from>
    <xdr:to>
      <xdr:col>33</xdr:col>
      <xdr:colOff>762000</xdr:colOff>
      <xdr:row>11</xdr:row>
      <xdr:rowOff>308161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E327CF6D-CFC6-4DAE-B73E-21C3D3F67A8E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19005176" y="3962400"/>
          <a:ext cx="2859742" cy="1916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71717</xdr:colOff>
      <xdr:row>12</xdr:row>
      <xdr:rowOff>98612</xdr:rowOff>
    </xdr:from>
    <xdr:to>
      <xdr:col>36</xdr:col>
      <xdr:colOff>672352</xdr:colOff>
      <xdr:row>12</xdr:row>
      <xdr:rowOff>317125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A2810B76-AC56-4FE3-AE71-F433364B1818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21963529" y="4329953"/>
          <a:ext cx="2178423" cy="2185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62753</xdr:colOff>
      <xdr:row>9</xdr:row>
      <xdr:rowOff>161365</xdr:rowOff>
    </xdr:from>
    <xdr:to>
      <xdr:col>26</xdr:col>
      <xdr:colOff>19434</xdr:colOff>
      <xdr:row>9</xdr:row>
      <xdr:rowOff>370914</xdr:rowOff>
    </xdr:to>
    <xdr:sp macro="" textlink="">
      <xdr:nvSpPr>
        <xdr:cNvPr id="20" name="Rectangle 2">
          <a:extLst>
            <a:ext uri="{FF2B5EF4-FFF2-40B4-BE49-F238E27FC236}">
              <a16:creationId xmlns:a16="http://schemas.microsoft.com/office/drawing/2014/main" id="{3BAEAB51-44FB-4CF5-AC97-E91A36777E77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15885459" y="3236259"/>
          <a:ext cx="1014516" cy="2095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134471</xdr:colOff>
      <xdr:row>7</xdr:row>
      <xdr:rowOff>206189</xdr:rowOff>
    </xdr:from>
    <xdr:to>
      <xdr:col>17</xdr:col>
      <xdr:colOff>493059</xdr:colOff>
      <xdr:row>8</xdr:row>
      <xdr:rowOff>39219</xdr:rowOff>
    </xdr:to>
    <xdr:sp macro="" textlink="">
      <xdr:nvSpPr>
        <xdr:cNvPr id="21" name="Rectangle 2">
          <a:extLst>
            <a:ext uri="{FF2B5EF4-FFF2-40B4-BE49-F238E27FC236}">
              <a16:creationId xmlns:a16="http://schemas.microsoft.com/office/drawing/2014/main" id="{9B33A426-FD13-410C-A718-7EE994F45287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9610165" y="2510118"/>
          <a:ext cx="3003176" cy="2185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62753</xdr:colOff>
      <xdr:row>9</xdr:row>
      <xdr:rowOff>17930</xdr:rowOff>
    </xdr:to>
    <xdr:cxnSp macro="">
      <xdr:nvCxnSpPr>
        <xdr:cNvPr id="22" name="Connecteur : en angle 21">
          <a:extLst>
            <a:ext uri="{FF2B5EF4-FFF2-40B4-BE49-F238E27FC236}">
              <a16:creationId xmlns:a16="http://schemas.microsoft.com/office/drawing/2014/main" id="{52C3828D-8601-4844-994F-66E4AE668D21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 rot="16200000" flipH="1">
          <a:off x="12478871" y="2859741"/>
          <a:ext cx="403412" cy="6275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53789</xdr:colOff>
      <xdr:row>8</xdr:row>
      <xdr:rowOff>206189</xdr:rowOff>
    </xdr:from>
    <xdr:to>
      <xdr:col>24</xdr:col>
      <xdr:colOff>17929</xdr:colOff>
      <xdr:row>9</xdr:row>
      <xdr:rowOff>66115</xdr:rowOff>
    </xdr:to>
    <xdr:sp macro="" textlink="">
      <xdr:nvSpPr>
        <xdr:cNvPr id="23" name="Rectangle 2">
          <a:extLst>
            <a:ext uri="{FF2B5EF4-FFF2-40B4-BE49-F238E27FC236}">
              <a16:creationId xmlns:a16="http://schemas.microsoft.com/office/drawing/2014/main" id="{E0879069-CCCF-4B7B-8854-98106F84303A}"/>
            </a:ext>
            <a:ext uri="{147F2762-F138-4A5C-976F-8EAC2B608ADB}">
              <a16:predDERef xmlns:a16="http://schemas.microsoft.com/office/drawing/2014/main" pred="{3F79EDCD-2883-4985-9024-BD114F5A32F8}"/>
            </a:ext>
          </a:extLst>
        </xdr:cNvPr>
        <xdr:cNvSpPr/>
      </xdr:nvSpPr>
      <xdr:spPr>
        <a:xfrm>
          <a:off x="12702989" y="2895601"/>
          <a:ext cx="3137646" cy="2454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62753</xdr:colOff>
      <xdr:row>10</xdr:row>
      <xdr:rowOff>17930</xdr:rowOff>
    </xdr:to>
    <xdr:cxnSp macro="">
      <xdr:nvCxnSpPr>
        <xdr:cNvPr id="24" name="Connecteur : en angle 23">
          <a:extLst>
            <a:ext uri="{FF2B5EF4-FFF2-40B4-BE49-F238E27FC236}">
              <a16:creationId xmlns:a16="http://schemas.microsoft.com/office/drawing/2014/main" id="{1A89D797-BE95-434B-BB7B-BB3A2030AFE6}"/>
            </a:ext>
            <a:ext uri="{147F2762-F138-4A5C-976F-8EAC2B608ADB}">
              <a16:predDERef xmlns:a16="http://schemas.microsoft.com/office/drawing/2014/main" pred="{AD1A5630-E256-482F-927C-A659716009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F79EDCD-2883-4985-9024-BD114F5A32F8}" end="{AD1A5630-E256-482F-927C-A6597160096A}"/>
            </a:ext>
          </a:extLst>
        </xdr:cNvCxnSpPr>
      </xdr:nvCxnSpPr>
      <xdr:spPr>
        <a:xfrm rot="16200000" flipH="1">
          <a:off x="15652377" y="3245223"/>
          <a:ext cx="403412" cy="62753"/>
        </a:xfrm>
        <a:prstGeom prst="bentConnector3">
          <a:avLst>
            <a:gd name="adj1" fmla="val 50000"/>
          </a:avLst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4CCC-C105-4E40-8CDD-A272DD8DFC83}">
  <sheetPr>
    <tabColor rgb="FFFF0000"/>
  </sheetPr>
  <dimension ref="B2:B11"/>
  <sheetViews>
    <sheetView topLeftCell="A7" workbookViewId="0">
      <selection activeCell="B17" sqref="B17"/>
    </sheetView>
  </sheetViews>
  <sheetFormatPr baseColWidth="10" defaultColWidth="11.453125" defaultRowHeight="14.5" x14ac:dyDescent="0.35"/>
  <cols>
    <col min="1" max="1" width="11.453125" style="3"/>
    <col min="2" max="2" width="145.36328125" style="4" customWidth="1"/>
    <col min="3" max="16384" width="11.453125" style="3"/>
  </cols>
  <sheetData>
    <row r="2" spans="2:2" x14ac:dyDescent="0.35">
      <c r="B2" s="5" t="s">
        <v>0</v>
      </c>
    </row>
    <row r="3" spans="2:2" ht="29" x14ac:dyDescent="0.35">
      <c r="B3" s="4" t="s">
        <v>1</v>
      </c>
    </row>
    <row r="5" spans="2:2" x14ac:dyDescent="0.35">
      <c r="B5" s="5" t="s">
        <v>2</v>
      </c>
    </row>
    <row r="6" spans="2:2" ht="101.5" x14ac:dyDescent="0.35">
      <c r="B6" s="4" t="s">
        <v>3</v>
      </c>
    </row>
    <row r="8" spans="2:2" x14ac:dyDescent="0.35">
      <c r="B8" s="4" t="s">
        <v>4</v>
      </c>
    </row>
    <row r="10" spans="2:2" x14ac:dyDescent="0.35">
      <c r="B10" s="5" t="s">
        <v>5</v>
      </c>
    </row>
    <row r="11" spans="2:2" ht="58" x14ac:dyDescent="0.35">
      <c r="B1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D2C7-2944-4682-AE69-A7048FBD766F}">
  <dimension ref="B2:H7"/>
  <sheetViews>
    <sheetView workbookViewId="0">
      <selection activeCell="B19" sqref="B19"/>
    </sheetView>
  </sheetViews>
  <sheetFormatPr baseColWidth="10" defaultColWidth="11.453125" defaultRowHeight="14.5" x14ac:dyDescent="0.35"/>
  <cols>
    <col min="1" max="1" width="11.453125" style="3"/>
    <col min="2" max="2" width="44.54296875" style="3" bestFit="1" customWidth="1"/>
    <col min="3" max="3" width="11.453125" style="3" customWidth="1"/>
    <col min="4" max="8" width="11.453125" style="9"/>
    <col min="9" max="16384" width="11.453125" style="3"/>
  </cols>
  <sheetData>
    <row r="2" spans="2:8" x14ac:dyDescent="0.35"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</row>
    <row r="3" spans="2:8" x14ac:dyDescent="0.35">
      <c r="B3" s="6" t="s">
        <v>13</v>
      </c>
      <c r="C3" s="8">
        <v>8</v>
      </c>
      <c r="D3" s="8"/>
      <c r="E3" s="8"/>
      <c r="F3" s="8"/>
      <c r="G3" s="8"/>
      <c r="H3" s="8"/>
    </row>
    <row r="4" spans="2:8" x14ac:dyDescent="0.35">
      <c r="B4" s="6" t="s">
        <v>14</v>
      </c>
      <c r="C4" s="8">
        <v>4</v>
      </c>
      <c r="D4" s="8"/>
      <c r="E4" s="8"/>
      <c r="F4" s="8"/>
      <c r="G4" s="8"/>
      <c r="H4" s="8"/>
    </row>
    <row r="5" spans="2:8" x14ac:dyDescent="0.35">
      <c r="B5" s="6" t="s">
        <v>15</v>
      </c>
      <c r="C5" s="8">
        <v>4</v>
      </c>
      <c r="D5" s="8"/>
      <c r="E5" s="8"/>
      <c r="F5" s="8"/>
      <c r="G5" s="8"/>
      <c r="H5" s="8"/>
    </row>
    <row r="6" spans="2:8" x14ac:dyDescent="0.35">
      <c r="B6" s="6" t="s">
        <v>16</v>
      </c>
      <c r="C6" s="8">
        <v>4</v>
      </c>
      <c r="D6" s="8"/>
      <c r="E6" s="8"/>
      <c r="F6" s="8"/>
      <c r="G6" s="8"/>
      <c r="H6" s="8"/>
    </row>
    <row r="7" spans="2:8" x14ac:dyDescent="0.35">
      <c r="B7" s="6" t="s">
        <v>17</v>
      </c>
      <c r="C7" s="8">
        <v>20</v>
      </c>
      <c r="D7" s="8">
        <f>SUM(D3:D6)</f>
        <v>0</v>
      </c>
      <c r="E7" s="8">
        <f t="shared" ref="E7:H7" si="0">SUM(E3:E6)</f>
        <v>0</v>
      </c>
      <c r="F7" s="8">
        <f t="shared" si="0"/>
        <v>0</v>
      </c>
      <c r="G7" s="8">
        <f t="shared" si="0"/>
        <v>0</v>
      </c>
      <c r="H7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EDFE-DDBE-4527-AB46-344A1342A99A}">
  <dimension ref="A1:CR15"/>
  <sheetViews>
    <sheetView zoomScale="85" zoomScaleNormal="85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CP7" sqref="CP7"/>
    </sheetView>
  </sheetViews>
  <sheetFormatPr baseColWidth="10" defaultColWidth="11.453125" defaultRowHeight="30" customHeight="1" x14ac:dyDescent="0.35"/>
  <cols>
    <col min="1" max="1" width="24.54296875" style="1" customWidth="1"/>
    <col min="2" max="96" width="3" style="2" customWidth="1"/>
    <col min="97" max="16384" width="11.453125" style="2"/>
  </cols>
  <sheetData>
    <row r="1" spans="1:96" ht="15" customHeight="1" x14ac:dyDescent="0.35">
      <c r="B1" s="16" t="s">
        <v>18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 t="s">
        <v>19</v>
      </c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 t="s">
        <v>20</v>
      </c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 t="s">
        <v>21</v>
      </c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</row>
    <row r="2" spans="1:96" ht="15" customHeight="1" x14ac:dyDescent="0.35">
      <c r="B2" s="16" t="s">
        <v>22</v>
      </c>
      <c r="C2" s="16"/>
      <c r="D2" s="16"/>
      <c r="E2" s="16"/>
      <c r="F2" s="16" t="s">
        <v>23</v>
      </c>
      <c r="G2" s="16"/>
      <c r="H2" s="16"/>
      <c r="I2" s="16"/>
      <c r="J2" s="16"/>
      <c r="K2" s="16"/>
      <c r="L2" s="16"/>
      <c r="M2" s="16" t="s">
        <v>24</v>
      </c>
      <c r="N2" s="16"/>
      <c r="O2" s="16"/>
      <c r="P2" s="16"/>
      <c r="Q2" s="16"/>
      <c r="R2" s="16"/>
      <c r="S2" s="16"/>
      <c r="T2" s="16" t="s">
        <v>25</v>
      </c>
      <c r="U2" s="16"/>
      <c r="V2" s="16"/>
      <c r="W2" s="16"/>
      <c r="X2" s="16"/>
      <c r="Y2" s="16"/>
      <c r="Z2" s="16"/>
      <c r="AA2" s="16" t="s">
        <v>26</v>
      </c>
      <c r="AB2" s="16"/>
      <c r="AC2" s="16"/>
      <c r="AD2" s="16"/>
      <c r="AE2" s="16"/>
      <c r="AF2" s="16"/>
      <c r="AG2" s="16"/>
      <c r="AH2" s="16" t="s">
        <v>27</v>
      </c>
      <c r="AI2" s="16"/>
      <c r="AJ2" s="16"/>
      <c r="AK2" s="16"/>
      <c r="AL2" s="16"/>
      <c r="AM2" s="16"/>
      <c r="AN2" s="16"/>
      <c r="AO2" s="16" t="s">
        <v>28</v>
      </c>
      <c r="AP2" s="16"/>
      <c r="AQ2" s="16"/>
      <c r="AR2" s="16"/>
      <c r="AS2" s="16"/>
      <c r="AT2" s="16"/>
      <c r="AU2" s="16"/>
      <c r="AV2" s="16" t="s">
        <v>29</v>
      </c>
      <c r="AW2" s="16"/>
      <c r="AX2" s="16"/>
      <c r="AY2" s="16"/>
      <c r="AZ2" s="16"/>
      <c r="BA2" s="16"/>
      <c r="BB2" s="16"/>
      <c r="BC2" s="16" t="s">
        <v>30</v>
      </c>
      <c r="BD2" s="16"/>
      <c r="BE2" s="16"/>
      <c r="BF2" s="16"/>
      <c r="BG2" s="16"/>
      <c r="BH2" s="16"/>
      <c r="BI2" s="16"/>
      <c r="BJ2" s="16" t="s">
        <v>31</v>
      </c>
      <c r="BK2" s="16"/>
      <c r="BL2" s="16"/>
      <c r="BM2" s="16"/>
      <c r="BN2" s="16"/>
      <c r="BO2" s="16"/>
      <c r="BP2" s="16"/>
      <c r="BQ2" s="16" t="s">
        <v>32</v>
      </c>
      <c r="BR2" s="16"/>
      <c r="BS2" s="16"/>
      <c r="BT2" s="16"/>
      <c r="BU2" s="16"/>
      <c r="BV2" s="16"/>
      <c r="BW2" s="16"/>
      <c r="BX2" s="16" t="s">
        <v>33</v>
      </c>
      <c r="BY2" s="16"/>
      <c r="BZ2" s="16"/>
      <c r="CA2" s="16"/>
      <c r="CB2" s="16"/>
      <c r="CC2" s="16"/>
      <c r="CD2" s="16"/>
      <c r="CE2" s="16" t="s">
        <v>34</v>
      </c>
      <c r="CF2" s="16"/>
      <c r="CG2" s="16"/>
      <c r="CH2" s="16"/>
      <c r="CI2" s="16"/>
      <c r="CJ2" s="16"/>
      <c r="CK2" s="16"/>
      <c r="CL2" s="16" t="s">
        <v>35</v>
      </c>
      <c r="CM2" s="16"/>
      <c r="CN2" s="16"/>
      <c r="CO2" s="16"/>
      <c r="CP2" s="16"/>
      <c r="CQ2" s="16"/>
      <c r="CR2" s="16"/>
    </row>
    <row r="3" spans="1:96" ht="15" customHeight="1" x14ac:dyDescent="0.35">
      <c r="A3" s="1" t="s">
        <v>36</v>
      </c>
      <c r="B3" s="2">
        <v>9</v>
      </c>
      <c r="C3" s="2">
        <v>10</v>
      </c>
      <c r="D3" s="2">
        <v>11</v>
      </c>
      <c r="E3" s="2">
        <v>12</v>
      </c>
      <c r="F3" s="2">
        <v>13</v>
      </c>
      <c r="G3" s="2">
        <v>14</v>
      </c>
      <c r="H3" s="2">
        <v>15</v>
      </c>
      <c r="I3" s="2">
        <v>16</v>
      </c>
      <c r="J3" s="2">
        <v>17</v>
      </c>
      <c r="K3" s="2">
        <v>18</v>
      </c>
      <c r="L3" s="2">
        <v>19</v>
      </c>
      <c r="M3" s="2">
        <v>20</v>
      </c>
      <c r="N3" s="2">
        <v>21</v>
      </c>
      <c r="O3" s="2">
        <v>22</v>
      </c>
      <c r="P3" s="2">
        <v>23</v>
      </c>
      <c r="Q3" s="2">
        <v>24</v>
      </c>
      <c r="R3" s="2">
        <v>25</v>
      </c>
      <c r="S3" s="2">
        <v>26</v>
      </c>
      <c r="T3" s="2">
        <v>27</v>
      </c>
      <c r="U3" s="2">
        <v>28</v>
      </c>
      <c r="V3" s="2">
        <v>29</v>
      </c>
      <c r="W3" s="2">
        <v>30</v>
      </c>
      <c r="X3" s="2">
        <v>31</v>
      </c>
      <c r="Y3" s="2">
        <v>1</v>
      </c>
      <c r="Z3" s="2">
        <v>2</v>
      </c>
      <c r="AA3" s="2">
        <v>3</v>
      </c>
      <c r="AB3" s="2">
        <v>4</v>
      </c>
      <c r="AC3" s="2">
        <v>5</v>
      </c>
      <c r="AD3" s="2">
        <v>6</v>
      </c>
      <c r="AE3" s="2">
        <v>7</v>
      </c>
      <c r="AF3" s="2">
        <v>8</v>
      </c>
      <c r="AG3" s="2">
        <v>9</v>
      </c>
      <c r="AH3" s="2">
        <v>10</v>
      </c>
      <c r="AI3" s="2">
        <v>11</v>
      </c>
      <c r="AJ3" s="2">
        <v>12</v>
      </c>
      <c r="AK3" s="2">
        <v>13</v>
      </c>
      <c r="AL3" s="2">
        <v>14</v>
      </c>
      <c r="AM3" s="2">
        <v>15</v>
      </c>
      <c r="AN3" s="2">
        <v>16</v>
      </c>
      <c r="AO3" s="2">
        <v>17</v>
      </c>
      <c r="AP3" s="2">
        <v>18</v>
      </c>
      <c r="AQ3" s="2">
        <v>19</v>
      </c>
      <c r="AR3" s="2">
        <v>20</v>
      </c>
      <c r="AS3" s="2">
        <v>21</v>
      </c>
      <c r="AT3" s="2">
        <v>22</v>
      </c>
      <c r="AU3" s="2">
        <v>23</v>
      </c>
      <c r="AV3" s="2">
        <v>24</v>
      </c>
      <c r="AW3" s="2">
        <v>25</v>
      </c>
      <c r="AX3" s="2">
        <v>26</v>
      </c>
      <c r="AY3" s="2">
        <v>27</v>
      </c>
      <c r="AZ3" s="2">
        <v>28</v>
      </c>
      <c r="BA3" s="2">
        <v>29</v>
      </c>
      <c r="BB3" s="2">
        <v>30</v>
      </c>
      <c r="BC3" s="2">
        <v>31</v>
      </c>
      <c r="BD3" s="2">
        <v>1</v>
      </c>
      <c r="BE3" s="2">
        <v>2</v>
      </c>
      <c r="BF3" s="2">
        <v>3</v>
      </c>
      <c r="BG3" s="2">
        <v>4</v>
      </c>
      <c r="BH3" s="2">
        <v>5</v>
      </c>
      <c r="BI3" s="2">
        <v>6</v>
      </c>
      <c r="BJ3" s="2">
        <v>7</v>
      </c>
      <c r="BK3" s="2">
        <v>8</v>
      </c>
      <c r="BL3" s="2">
        <v>9</v>
      </c>
      <c r="BM3" s="2">
        <v>10</v>
      </c>
      <c r="BN3" s="2">
        <v>11</v>
      </c>
      <c r="BO3" s="2">
        <v>12</v>
      </c>
      <c r="BP3" s="2">
        <v>13</v>
      </c>
      <c r="BQ3" s="2">
        <v>14</v>
      </c>
      <c r="BR3" s="2">
        <v>15</v>
      </c>
      <c r="BS3" s="2">
        <v>16</v>
      </c>
      <c r="BT3" s="2">
        <v>17</v>
      </c>
      <c r="BU3" s="2">
        <v>18</v>
      </c>
      <c r="BV3" s="2">
        <v>19</v>
      </c>
      <c r="BW3" s="2">
        <v>20</v>
      </c>
      <c r="BX3" s="2">
        <v>21</v>
      </c>
      <c r="BY3" s="2">
        <v>22</v>
      </c>
      <c r="BZ3" s="2">
        <v>23</v>
      </c>
      <c r="CA3" s="2">
        <v>24</v>
      </c>
      <c r="CB3" s="2">
        <v>25</v>
      </c>
      <c r="CC3" s="2">
        <v>26</v>
      </c>
      <c r="CD3" s="2">
        <v>27</v>
      </c>
      <c r="CE3" s="2">
        <v>28</v>
      </c>
      <c r="CF3" s="2">
        <v>1</v>
      </c>
      <c r="CG3" s="2">
        <v>2</v>
      </c>
      <c r="CH3" s="2">
        <v>3</v>
      </c>
      <c r="CI3" s="2">
        <v>4</v>
      </c>
      <c r="CJ3" s="2">
        <v>5</v>
      </c>
      <c r="CK3" s="2">
        <v>6</v>
      </c>
      <c r="CL3" s="2">
        <v>7</v>
      </c>
      <c r="CM3" s="2">
        <v>8</v>
      </c>
      <c r="CN3" s="2">
        <v>9</v>
      </c>
      <c r="CO3" s="2">
        <v>10</v>
      </c>
      <c r="CP3" s="2">
        <v>11</v>
      </c>
      <c r="CQ3" s="2">
        <v>12</v>
      </c>
      <c r="CR3" s="2">
        <v>13</v>
      </c>
    </row>
    <row r="4" spans="1:96" ht="30" customHeight="1" x14ac:dyDescent="0.35">
      <c r="A4" s="1" t="s">
        <v>37</v>
      </c>
    </row>
    <row r="5" spans="1:96" ht="30" customHeight="1" x14ac:dyDescent="0.35">
      <c r="A5" s="1" t="s">
        <v>38</v>
      </c>
    </row>
    <row r="6" spans="1:96" ht="30" customHeight="1" x14ac:dyDescent="0.35">
      <c r="A6" s="1" t="s">
        <v>39</v>
      </c>
    </row>
    <row r="7" spans="1:96" ht="30" customHeight="1" x14ac:dyDescent="0.35">
      <c r="A7" s="1" t="s">
        <v>40</v>
      </c>
    </row>
    <row r="8" spans="1:96" ht="30" customHeight="1" x14ac:dyDescent="0.35">
      <c r="A8" s="1" t="s">
        <v>41</v>
      </c>
    </row>
    <row r="9" spans="1:96" ht="30" customHeight="1" x14ac:dyDescent="0.35">
      <c r="A9" s="1" t="s">
        <v>42</v>
      </c>
    </row>
    <row r="10" spans="1:96" ht="30" customHeight="1" x14ac:dyDescent="0.35">
      <c r="A10" s="1" t="s">
        <v>43</v>
      </c>
    </row>
    <row r="11" spans="1:96" ht="30" customHeight="1" x14ac:dyDescent="0.35">
      <c r="A11" s="1" t="s">
        <v>44</v>
      </c>
    </row>
    <row r="12" spans="1:96" ht="30" customHeight="1" x14ac:dyDescent="0.35">
      <c r="A12" s="1" t="s">
        <v>45</v>
      </c>
    </row>
    <row r="13" spans="1:96" ht="30" customHeight="1" x14ac:dyDescent="0.35">
      <c r="A13" s="1" t="s">
        <v>46</v>
      </c>
    </row>
    <row r="14" spans="1:96" ht="30" customHeight="1" x14ac:dyDescent="0.35">
      <c r="A14" s="1" t="s">
        <v>47</v>
      </c>
    </row>
    <row r="15" spans="1:96" ht="30" customHeight="1" x14ac:dyDescent="0.35">
      <c r="A15" s="1" t="s">
        <v>48</v>
      </c>
    </row>
  </sheetData>
  <mergeCells count="18">
    <mergeCell ref="T2:Z2"/>
    <mergeCell ref="AA2:AG2"/>
    <mergeCell ref="B1:X1"/>
    <mergeCell ref="Y1:BC1"/>
    <mergeCell ref="BD1:CE1"/>
    <mergeCell ref="B2:E2"/>
    <mergeCell ref="F2:L2"/>
    <mergeCell ref="M2:S2"/>
    <mergeCell ref="CF1:CR1"/>
    <mergeCell ref="AH2:AN2"/>
    <mergeCell ref="AO2:AU2"/>
    <mergeCell ref="AV2:BB2"/>
    <mergeCell ref="BC2:BI2"/>
    <mergeCell ref="BJ2:BP2"/>
    <mergeCell ref="BQ2:BW2"/>
    <mergeCell ref="BX2:CD2"/>
    <mergeCell ref="CE2:CK2"/>
    <mergeCell ref="CL2:CR2"/>
  </mergeCells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93FB-A23D-4F52-AE46-04F89B076DD0}">
  <dimension ref="A1:AK11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1" sqref="A11"/>
    </sheetView>
  </sheetViews>
  <sheetFormatPr baseColWidth="10" defaultColWidth="11.453125" defaultRowHeight="30" customHeight="1" x14ac:dyDescent="0.35"/>
  <cols>
    <col min="1" max="1" width="53.36328125" style="10" customWidth="1"/>
    <col min="2" max="31" width="7.6328125" style="1" customWidth="1"/>
    <col min="32" max="16384" width="11.453125" style="2"/>
  </cols>
  <sheetData>
    <row r="1" spans="1:37" ht="30" customHeight="1" x14ac:dyDescent="0.35">
      <c r="B1" s="13" t="s">
        <v>49</v>
      </c>
      <c r="C1" s="18" t="s">
        <v>50</v>
      </c>
      <c r="D1" s="18"/>
      <c r="E1" s="18"/>
      <c r="F1" s="18"/>
      <c r="G1" s="19" t="s">
        <v>51</v>
      </c>
      <c r="H1" s="19"/>
      <c r="I1" s="19"/>
      <c r="J1" s="19"/>
      <c r="K1" s="19"/>
      <c r="L1" s="19" t="s">
        <v>52</v>
      </c>
      <c r="M1" s="19"/>
      <c r="N1" s="19"/>
      <c r="O1" s="19"/>
      <c r="P1" s="19" t="s">
        <v>53</v>
      </c>
      <c r="Q1" s="19"/>
      <c r="R1" s="19"/>
      <c r="S1" s="19"/>
      <c r="T1" s="19" t="s">
        <v>54</v>
      </c>
      <c r="U1" s="19"/>
      <c r="V1" s="19"/>
      <c r="W1" s="19"/>
      <c r="X1" s="19"/>
      <c r="Y1" s="19" t="s">
        <v>55</v>
      </c>
      <c r="Z1" s="19"/>
      <c r="AA1" s="19"/>
      <c r="AB1" s="19"/>
      <c r="AC1" s="19" t="s">
        <v>56</v>
      </c>
      <c r="AD1" s="19"/>
      <c r="AE1" s="19"/>
      <c r="AF1" s="19"/>
      <c r="AG1" s="17" t="s">
        <v>57</v>
      </c>
      <c r="AH1" s="17"/>
      <c r="AI1" s="17"/>
      <c r="AJ1" s="17"/>
      <c r="AK1" s="17"/>
    </row>
    <row r="2" spans="1:37" s="11" customFormat="1" ht="15" customHeight="1" x14ac:dyDescent="0.35">
      <c r="A2" s="10"/>
      <c r="B2" s="10" t="str">
        <f>"S"&amp;_xlfn.ISOWEEKNUM(B3)</f>
        <v>S44</v>
      </c>
      <c r="C2" s="10" t="str">
        <f t="shared" ref="C2:AI2" si="0">"S"&amp;_xlfn.ISOWEEKNUM(C3)</f>
        <v>S45</v>
      </c>
      <c r="D2" s="10" t="str">
        <f t="shared" si="0"/>
        <v>S46</v>
      </c>
      <c r="E2" s="10" t="str">
        <f t="shared" si="0"/>
        <v>S47</v>
      </c>
      <c r="F2" s="10" t="str">
        <f t="shared" si="0"/>
        <v>S48</v>
      </c>
      <c r="G2" s="10" t="str">
        <f t="shared" si="0"/>
        <v>S49</v>
      </c>
      <c r="H2" s="10" t="str">
        <f t="shared" si="0"/>
        <v>S50</v>
      </c>
      <c r="I2" s="10" t="str">
        <f t="shared" si="0"/>
        <v>S51</v>
      </c>
      <c r="J2" s="10" t="str">
        <f t="shared" si="0"/>
        <v>S52</v>
      </c>
      <c r="K2" s="10" t="str">
        <f t="shared" si="0"/>
        <v>S1</v>
      </c>
      <c r="L2" s="10" t="str">
        <f t="shared" si="0"/>
        <v>S2</v>
      </c>
      <c r="M2" s="10" t="str">
        <f t="shared" si="0"/>
        <v>S3</v>
      </c>
      <c r="N2" s="10" t="str">
        <f t="shared" si="0"/>
        <v>S4</v>
      </c>
      <c r="O2" s="10" t="str">
        <f t="shared" si="0"/>
        <v>S5</v>
      </c>
      <c r="P2" s="10" t="str">
        <f t="shared" si="0"/>
        <v>S6</v>
      </c>
      <c r="Q2" s="10" t="str">
        <f t="shared" si="0"/>
        <v>S7</v>
      </c>
      <c r="R2" s="10" t="str">
        <f t="shared" si="0"/>
        <v>S8</v>
      </c>
      <c r="S2" s="10" t="str">
        <f t="shared" si="0"/>
        <v>S9</v>
      </c>
      <c r="T2" s="10" t="str">
        <f t="shared" si="0"/>
        <v>S10</v>
      </c>
      <c r="U2" s="10" t="str">
        <f t="shared" si="0"/>
        <v>S11</v>
      </c>
      <c r="V2" s="10" t="str">
        <f t="shared" si="0"/>
        <v>S12</v>
      </c>
      <c r="W2" s="10" t="str">
        <f t="shared" si="0"/>
        <v>S13</v>
      </c>
      <c r="X2" s="10" t="str">
        <f t="shared" si="0"/>
        <v>S14</v>
      </c>
      <c r="Y2" s="10" t="str">
        <f t="shared" si="0"/>
        <v>S15</v>
      </c>
      <c r="Z2" s="10" t="str">
        <f t="shared" si="0"/>
        <v>S16</v>
      </c>
      <c r="AA2" s="10" t="str">
        <f t="shared" si="0"/>
        <v>S17</v>
      </c>
      <c r="AB2" s="10" t="str">
        <f t="shared" si="0"/>
        <v>S18</v>
      </c>
      <c r="AC2" s="10" t="str">
        <f t="shared" si="0"/>
        <v>S19</v>
      </c>
      <c r="AD2" s="10" t="str">
        <f t="shared" si="0"/>
        <v>S20</v>
      </c>
      <c r="AE2" s="10" t="str">
        <f t="shared" si="0"/>
        <v>S21</v>
      </c>
      <c r="AF2" s="10" t="str">
        <f t="shared" si="0"/>
        <v>S22</v>
      </c>
      <c r="AG2" s="10" t="str">
        <f t="shared" si="0"/>
        <v>S23</v>
      </c>
      <c r="AH2" s="10" t="str">
        <f t="shared" si="0"/>
        <v>S24</v>
      </c>
      <c r="AI2" s="10" t="str">
        <f t="shared" si="0"/>
        <v>S25</v>
      </c>
      <c r="AJ2" s="10" t="str">
        <f t="shared" ref="AJ2" si="1">"S"&amp;_xlfn.ISOWEEKNUM(AJ3)</f>
        <v>S26</v>
      </c>
      <c r="AK2" s="10" t="str">
        <f t="shared" ref="AK2" si="2">"S"&amp;_xlfn.ISOWEEKNUM(AK3)</f>
        <v>S27</v>
      </c>
    </row>
    <row r="3" spans="1:37" ht="15" customHeight="1" x14ac:dyDescent="0.35">
      <c r="A3" s="10" t="s">
        <v>58</v>
      </c>
      <c r="B3" s="12">
        <v>45957</v>
      </c>
      <c r="C3" s="12">
        <f>B3+7</f>
        <v>45964</v>
      </c>
      <c r="D3" s="12">
        <f>C3+7</f>
        <v>45971</v>
      </c>
      <c r="E3" s="12">
        <f t="shared" ref="E3:AK3" si="3">D3+7</f>
        <v>45978</v>
      </c>
      <c r="F3" s="12">
        <f t="shared" si="3"/>
        <v>45985</v>
      </c>
      <c r="G3" s="12">
        <f t="shared" si="3"/>
        <v>45992</v>
      </c>
      <c r="H3" s="12">
        <f t="shared" si="3"/>
        <v>45999</v>
      </c>
      <c r="I3" s="12">
        <f t="shared" si="3"/>
        <v>46006</v>
      </c>
      <c r="J3" s="12">
        <f t="shared" si="3"/>
        <v>46013</v>
      </c>
      <c r="K3" s="12">
        <f t="shared" si="3"/>
        <v>46020</v>
      </c>
      <c r="L3" s="12">
        <f t="shared" si="3"/>
        <v>46027</v>
      </c>
      <c r="M3" s="12">
        <f t="shared" si="3"/>
        <v>46034</v>
      </c>
      <c r="N3" s="12">
        <f t="shared" si="3"/>
        <v>46041</v>
      </c>
      <c r="O3" s="12">
        <f t="shared" si="3"/>
        <v>46048</v>
      </c>
      <c r="P3" s="12">
        <f t="shared" si="3"/>
        <v>46055</v>
      </c>
      <c r="Q3" s="12">
        <f t="shared" si="3"/>
        <v>46062</v>
      </c>
      <c r="R3" s="12">
        <f t="shared" si="3"/>
        <v>46069</v>
      </c>
      <c r="S3" s="12">
        <f t="shared" si="3"/>
        <v>46076</v>
      </c>
      <c r="T3" s="12">
        <f t="shared" si="3"/>
        <v>46083</v>
      </c>
      <c r="U3" s="12">
        <f t="shared" si="3"/>
        <v>46090</v>
      </c>
      <c r="V3" s="12">
        <f t="shared" si="3"/>
        <v>46097</v>
      </c>
      <c r="W3" s="12">
        <f t="shared" si="3"/>
        <v>46104</v>
      </c>
      <c r="X3" s="12">
        <f t="shared" si="3"/>
        <v>46111</v>
      </c>
      <c r="Y3" s="12">
        <f t="shared" si="3"/>
        <v>46118</v>
      </c>
      <c r="Z3" s="12">
        <f t="shared" si="3"/>
        <v>46125</v>
      </c>
      <c r="AA3" s="12">
        <f t="shared" si="3"/>
        <v>46132</v>
      </c>
      <c r="AB3" s="12">
        <f t="shared" si="3"/>
        <v>46139</v>
      </c>
      <c r="AC3" s="12">
        <f t="shared" si="3"/>
        <v>46146</v>
      </c>
      <c r="AD3" s="12">
        <f t="shared" si="3"/>
        <v>46153</v>
      </c>
      <c r="AE3" s="12">
        <f t="shared" si="3"/>
        <v>46160</v>
      </c>
      <c r="AF3" s="12">
        <f t="shared" si="3"/>
        <v>46167</v>
      </c>
      <c r="AG3" s="12">
        <f>AF3+7</f>
        <v>46174</v>
      </c>
      <c r="AH3" s="12">
        <f t="shared" si="3"/>
        <v>46181</v>
      </c>
      <c r="AI3" s="12">
        <f t="shared" si="3"/>
        <v>46188</v>
      </c>
      <c r="AJ3" s="12">
        <f t="shared" si="3"/>
        <v>46195</v>
      </c>
      <c r="AK3" s="12">
        <f t="shared" si="3"/>
        <v>46202</v>
      </c>
    </row>
    <row r="4" spans="1:37" ht="30" customHeight="1" x14ac:dyDescent="0.35">
      <c r="A4" s="10" t="s">
        <v>59</v>
      </c>
    </row>
    <row r="5" spans="1:37" ht="30" customHeight="1" x14ac:dyDescent="0.35">
      <c r="A5" s="15" t="s">
        <v>60</v>
      </c>
    </row>
    <row r="6" spans="1:37" ht="30" customHeight="1" x14ac:dyDescent="0.35">
      <c r="A6" s="10" t="s">
        <v>61</v>
      </c>
    </row>
    <row r="7" spans="1:37" ht="30" customHeight="1" x14ac:dyDescent="0.35">
      <c r="A7" s="14" t="s">
        <v>62</v>
      </c>
    </row>
    <row r="8" spans="1:37" ht="30" customHeight="1" x14ac:dyDescent="0.35">
      <c r="A8" s="10" t="s">
        <v>63</v>
      </c>
    </row>
    <row r="9" spans="1:37" ht="30" customHeight="1" x14ac:dyDescent="0.35">
      <c r="A9" s="10" t="s">
        <v>64</v>
      </c>
    </row>
    <row r="10" spans="1:37" ht="30" customHeight="1" x14ac:dyDescent="0.35">
      <c r="A10" s="10" t="s">
        <v>65</v>
      </c>
    </row>
    <row r="11" spans="1:37" ht="30" customHeight="1" x14ac:dyDescent="0.35">
      <c r="A11" s="10" t="s">
        <v>66</v>
      </c>
    </row>
  </sheetData>
  <mergeCells count="8">
    <mergeCell ref="AG1:AK1"/>
    <mergeCell ref="C1:F1"/>
    <mergeCell ref="G1:K1"/>
    <mergeCell ref="L1:O1"/>
    <mergeCell ref="P1:S1"/>
    <mergeCell ref="T1:X1"/>
    <mergeCell ref="Y1:AB1"/>
    <mergeCell ref="AC1:AF1"/>
  </mergeCells>
  <phoneticPr fontId="1" type="noConversion"/>
  <pageMargins left="0.7" right="0.7" top="0.75" bottom="0.75" header="0.3" footer="0.3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A4E1097E55A49828D080A06C8D89A" ma:contentTypeVersion="3" ma:contentTypeDescription="Crée un document." ma:contentTypeScope="" ma:versionID="73e52408597308333dd2e4c36489f010">
  <xsd:schema xmlns:xsd="http://www.w3.org/2001/XMLSchema" xmlns:xs="http://www.w3.org/2001/XMLSchema" xmlns:p="http://schemas.microsoft.com/office/2006/metadata/properties" xmlns:ns2="b1255ecb-a479-4a24-8ef3-d9497e0d079b" targetNamespace="http://schemas.microsoft.com/office/2006/metadata/properties" ma:root="true" ma:fieldsID="827a1ab35cece22d6dd0a020015227e1" ns2:_="">
    <xsd:import namespace="b1255ecb-a479-4a24-8ef3-d9497e0d0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55ecb-a479-4a24-8ef3-d9497e0d0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0F52D-8D1E-47EA-BAFB-9468E364C6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6CDBFA-423D-4DB7-832D-83EDA4215137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b1255ecb-a479-4a24-8ef3-d9497e0d079b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4C85C36-959F-4C3B-8811-68BB19A93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255ecb-a479-4a24-8ef3-d9497e0d0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Consignes</vt:lpstr>
      <vt:lpstr>Note</vt:lpstr>
      <vt:lpstr>Exemple Conf DeVinci Durable</vt:lpstr>
      <vt:lpstr>Exercice rétroplanning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Marcinkowski</dc:creator>
  <cp:keywords/>
  <dc:description/>
  <cp:lastModifiedBy>SIEWE TIAGUE Kyllian</cp:lastModifiedBy>
  <cp:revision/>
  <dcterms:created xsi:type="dcterms:W3CDTF">2020-11-13T08:48:14Z</dcterms:created>
  <dcterms:modified xsi:type="dcterms:W3CDTF">2025-12-05T13:49:15Z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0x010100CD1A4E1097E55A49828D080A06C8D89A</vt:lpwstr>
  </property>
</Properties>
</file>